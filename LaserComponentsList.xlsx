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netspi-my.sharepoint.com/personal/sbeaumont_netspi_com/Documents/"/>
    </mc:Choice>
  </mc:AlternateContent>
  <xr:revisionPtr revIDLastSave="0" documentId="8_{976D7F82-F1EE-4FEF-B3A2-7BC669869AA7}" xr6:coauthVersionLast="47" xr6:coauthVersionMax="47" xr10:uidLastSave="{00000000-0000-0000-0000-000000000000}"/>
  <bookViews>
    <workbookView xWindow="-108" yWindow="-108" windowWidth="30936" windowHeight="18696" xr2:uid="{FBC6D4AF-5CBB-7B4A-BF6C-40298E7AD994}"/>
  </bookViews>
  <sheets>
    <sheet name="INJECTION (SPLIT,GEN1)" sheetId="1" r:id="rId1"/>
    <sheet name="IMAGING (SPLIT,GEN1)" sheetId="2" r:id="rId2"/>
    <sheet name="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F9" i="2"/>
  <c r="F12" i="3"/>
  <c r="F11" i="3"/>
  <c r="F9" i="3"/>
  <c r="F8" i="3"/>
  <c r="F7" i="3"/>
  <c r="F4" i="3"/>
  <c r="F3" i="3"/>
  <c r="F8" i="2"/>
  <c r="F6" i="2"/>
  <c r="F5" i="2"/>
  <c r="F4" i="2"/>
  <c r="F3" i="2"/>
  <c r="F9" i="1"/>
  <c r="F5" i="1"/>
  <c r="F7" i="1"/>
  <c r="F8" i="1"/>
  <c r="F10" i="1"/>
  <c r="F13" i="1"/>
  <c r="F14" i="1"/>
  <c r="F6" i="1"/>
  <c r="F13" i="2" l="1"/>
  <c r="F17" i="1"/>
</calcChain>
</file>

<file path=xl/sharedStrings.xml><?xml version="1.0" encoding="utf-8"?>
<sst xmlns="http://schemas.openxmlformats.org/spreadsheetml/2006/main" count="115" uniqueCount="72">
  <si>
    <t>Name of Thing</t>
  </si>
  <si>
    <t>What its used for</t>
  </si>
  <si>
    <t>Purchase Link</t>
  </si>
  <si>
    <t>Unit</t>
  </si>
  <si>
    <t>Individual Cost</t>
  </si>
  <si>
    <t>Total Item Cost</t>
  </si>
  <si>
    <t>Notes</t>
  </si>
  <si>
    <t>OpenFlexure Delta Stage 3D printer model</t>
  </si>
  <si>
    <t>Base/Holder</t>
  </si>
  <si>
    <t>https://openflexure.org/projects/deltastage/</t>
  </si>
  <si>
    <t>200 grams</t>
  </si>
  <si>
    <t>Qiaoba Green Laser Module Diode Green Laser Light 532nm</t>
  </si>
  <si>
    <t>Laser</t>
  </si>
  <si>
    <t>https://www.amazon.com/dp/B0C77FF66G</t>
  </si>
  <si>
    <t>LEDGUHON 5Pcs Ir High Power LED Chip 3535 SMD 3W Infrared Emitting Diode</t>
  </si>
  <si>
    <t>illumination</t>
  </si>
  <si>
    <t>https://www.amazon.com/dp/B0CL77ZPT7</t>
  </si>
  <si>
    <t>Raspberry Pi NoIR Camera Module V2 - 8MP</t>
  </si>
  <si>
    <t>IR Camera</t>
  </si>
  <si>
    <t>https://www.amazon.com/dp/B01ER2SMHY</t>
  </si>
  <si>
    <t>HiLetgo 5pcs ULN2003 28BYJ-48 4-Phase Stepper Motor with 5V Drive Board for Arduino PI PIC Raspberry Pi</t>
  </si>
  <si>
    <t>Motors for positioning</t>
  </si>
  <si>
    <t>https://www.amazon.com/dp/B00LPK0E5A</t>
  </si>
  <si>
    <t>uxcell O-Rings Nitrile Rubber, 30mm Inner Diameter, 34mm OD, 2mm Width, Round Seal Gasket(Pack of 50)</t>
  </si>
  <si>
    <t>Spring</t>
  </si>
  <si>
    <t>https://www.amazon.com/dp/B07FH85GDL</t>
  </si>
  <si>
    <t>Vision Scientific VS-0TT5 Infinity Plan DIN Objective Lens (20X Magnification)</t>
  </si>
  <si>
    <t>Lens</t>
  </si>
  <si>
    <t>https://www.amazon.com/dp/B07C4J6K83</t>
  </si>
  <si>
    <t>Raspberry Pi 4 Computer Model B 8GB Single Board Computer</t>
  </si>
  <si>
    <t>Computer</t>
  </si>
  <si>
    <t>https://www.amazon.com/Raspberry-Pi-Computer-Suitable-Workstation/dp/B0899VXM8F</t>
  </si>
  <si>
    <t>PATIKIL Diameter 12.5mm Height 3.7mm Flat Convex Lens, 10 Pcs Acrylic LED Optical Convex Condenser Lens for LED Flashlight Bike Head Lamp</t>
  </si>
  <si>
    <t>illumination lens</t>
  </si>
  <si>
    <t>https://www.amazon.com/dp/B0BR5PYPQB</t>
  </si>
  <si>
    <t xml:space="preserve">Digilent Arty S7: Spartan-7 FPGA Board for Makers and Hobbyists (Arty S7-25) </t>
  </si>
  <si>
    <t>Timing mechanism</t>
  </si>
  <si>
    <t>https://www.amazon.com/dp/B07C24TD86</t>
  </si>
  <si>
    <t>Beam Splitter Plate 20*20*1.1mm 50T/50R Optical Glass Laser Analysis Instrument</t>
  </si>
  <si>
    <t>Beam Splitter</t>
  </si>
  <si>
    <t>Bohr Optics C. Ltd on ebay.com</t>
  </si>
  <si>
    <t>OpenFlexure Microscope Bag of Bits</t>
  </si>
  <si>
    <t>Bolts, Screws, etc..</t>
  </si>
  <si>
    <t>https://lectronz.com/products/openflexure-microscope-bag-of-bits</t>
  </si>
  <si>
    <t>Sangaboard v5</t>
  </si>
  <si>
    <t>Motor Controller</t>
  </si>
  <si>
    <t>https://lectronz.com/products/sangaboard-v5</t>
  </si>
  <si>
    <t>Tube Lens PID: L13531 13mm diam. 50mm focal</t>
  </si>
  <si>
    <t>Focusing Lens</t>
  </si>
  <si>
    <t>https://www.surplusshed.com/search_lenses.php?type=ACH&amp;diameter_to=12.5&amp;diameter_from=13&amp;focal_length_to=48&amp;focal_length_from=52&amp;sort=diameter&amp;sortby=+asc</t>
  </si>
  <si>
    <t>MISC BUILD ASSEMBLY SUPPLIES</t>
  </si>
  <si>
    <t>Odd, and ends</t>
  </si>
  <si>
    <t>N/A (Amazon, Ebay, General Stores)</t>
  </si>
  <si>
    <t>TOTAL UNIT COST</t>
  </si>
  <si>
    <t>LT6233 from analog devices</t>
  </si>
  <si>
    <t>High speed Op amp</t>
  </si>
  <si>
    <t>https://www.mouser.com/ProductDetail/Analog-Devices/LT6233CS6TRMPBF?qs=hVkxg5c3xu%2FNXBOvYLz9Ig%3D%3D</t>
  </si>
  <si>
    <t>LUMINENT MRLDFC010-NEB1 1300nm 1.3um LASER DIODE SINGLE</t>
  </si>
  <si>
    <t>https://www.ebay.com/itm/193000533916?_trkparms=amclksrc%3DITM%26aid%3D777008%26algo%3DPERSONAL.TOPIC%26ao%3D1%26asc%3D20240131095853%26meid%3De42124396a194bac982633549267f898%26pid%3D101949%26rk%3D1%26rkt%3D1%26itm%3D193000533916%26pmt%3D1%26noa%3D1%26pg%3D4375194%26algv%3DRecentlyViewedItemsV2WithMLRV6RankerPricelessTop30Features&amp;_trksid=p4375194.c101949.m162918&amp;_trkparms=parentrq%3Aeb58a89e1900a54a26819865ffff8f70%7Cpageci%3A4ad298ec-4abb-11ef-8133-fe808b91d733%7Ciid%3A1%7Cvlpname%3Avlp_homepage</t>
  </si>
  <si>
    <t>OUR TARGET BOARD KIT (Arduno, ZIF socket, Proto-board, etc.)</t>
  </si>
  <si>
    <t xml:space="preserve">HAYEAR 2K 34MP 1080P 60FPS HDMI USB Electronic Industrial Microscope Camera 0.5X Eyepiece Adapter 30mm/30.5m Ring </t>
  </si>
  <si>
    <t>https://www.amazon.com/dp/B07WC1PN69</t>
  </si>
  <si>
    <t>AmScope SE400-Z Professional Binocular Stereo Microscope, WF10x and WF20x Eyepieces, 10X and 20X Magnification, 1X Objective, LED Lighting, Boom-Arm Stand</t>
  </si>
  <si>
    <t>Reference microscope</t>
  </si>
  <si>
    <t>https://www.amazon.com/dp/B005C75IVM</t>
  </si>
  <si>
    <t>AmScope 10X Plan Achromatic Objective Lens with Knurled Ring</t>
  </si>
  <si>
    <t>https://www.amazon.com/dp/B01G4CCB8G</t>
  </si>
  <si>
    <t>NA</t>
  </si>
  <si>
    <t>Optical Glass Cube Dichroic Beam Splitter Prism Ratio 50:50 Spectrome Sicence</t>
  </si>
  <si>
    <t>https://www.amazon.com/dp/B08FBCKKRM</t>
  </si>
  <si>
    <t>Texas Instruments Value Line MSP430 LaunchPad - MSP-EXP430G2ET, 14-/20-pin DIP (N) Socket</t>
  </si>
  <si>
    <t>https://www.amazon.com/dp/B07J3R15JB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</si>
</sst>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u/>
      <sz val="12"/>
      <color rgb="FFFF0000"/>
      <name val="Aptos Narrow"/>
      <family val="2"/>
      <scheme val="minor"/>
    </font>
    <font>
      <sz val="12"/>
      <color rgb="FF000000"/>
      <name val="Aptos Narrow"/>
      <charset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</font>
    <font>
      <i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3" fillId="0" borderId="0" xfId="2" applyAlignment="1">
      <alignment vertical="center"/>
    </xf>
    <xf numFmtId="1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2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7" fillId="0" borderId="0" xfId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2" applyFont="1" applyAlignment="1">
      <alignment vertical="center" wrapText="1"/>
    </xf>
    <xf numFmtId="0" fontId="9" fillId="0" borderId="0" xfId="0" applyFont="1" applyAlignment="1">
      <alignment vertical="center"/>
    </xf>
    <xf numFmtId="44" fontId="1" fillId="0" borderId="0" xfId="1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ctronz.com/products/openflexure-microscope-bag-of-bits" TargetMode="External"/><Relationship Id="rId13" Type="http://schemas.openxmlformats.org/officeDocument/2006/relationships/hyperlink" Target="https://www.amazon.com/Raspberry-Pi-Computer-Suitable-Workstation/dp/B0899VXM8F" TargetMode="External"/><Relationship Id="rId3" Type="http://schemas.openxmlformats.org/officeDocument/2006/relationships/hyperlink" Target="https://www.amazon.com/dp/B01ER2SMHY" TargetMode="External"/><Relationship Id="rId7" Type="http://schemas.openxmlformats.org/officeDocument/2006/relationships/hyperlink" Target="https://www.amazon.com/dp/B07C24TD86" TargetMode="External"/><Relationship Id="rId12" Type="http://schemas.openxmlformats.org/officeDocument/2006/relationships/hyperlink" Target="https://www.amazon.com/dp/B00LPK0E5A" TargetMode="External"/><Relationship Id="rId2" Type="http://schemas.openxmlformats.org/officeDocument/2006/relationships/hyperlink" Target="https://www.amazon.com/dp/B0CL77ZPT7" TargetMode="External"/><Relationship Id="rId1" Type="http://schemas.openxmlformats.org/officeDocument/2006/relationships/hyperlink" Target="https://www.amazon.com/dp/B0C77FF66G" TargetMode="External"/><Relationship Id="rId6" Type="http://schemas.openxmlformats.org/officeDocument/2006/relationships/hyperlink" Target="https://www.amazon.com/dp/B0BR5PYPQB" TargetMode="External"/><Relationship Id="rId11" Type="http://schemas.openxmlformats.org/officeDocument/2006/relationships/hyperlink" Target="https://openflexure.org/projects/deltastage/" TargetMode="External"/><Relationship Id="rId5" Type="http://schemas.openxmlformats.org/officeDocument/2006/relationships/hyperlink" Target="https://www.amazon.com/dp/B07C4J6K83" TargetMode="External"/><Relationship Id="rId10" Type="http://schemas.openxmlformats.org/officeDocument/2006/relationships/hyperlink" Target="https://www.surplusshed.com/search_lenses.php?type=ACH&amp;diameter_to=12.5&amp;diameter_from=13&amp;focal_length_to=48&amp;focal_length_from=52&amp;sort=diameter&amp;sortby=+asc" TargetMode="External"/><Relationship Id="rId4" Type="http://schemas.openxmlformats.org/officeDocument/2006/relationships/hyperlink" Target="https://www.amazon.com/dp/B07FH85GDL" TargetMode="External"/><Relationship Id="rId9" Type="http://schemas.openxmlformats.org/officeDocument/2006/relationships/hyperlink" Target="https://lectronz.com/products/sangaboard-v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ay.com/itm/193000533916?_trkparms=amclksrc%3DITM%26aid%3D777008%26algo%3DPERSONAL.TOPIC%26ao%3D1%26asc%3D20240131095853%26meid%3De42124396a194bac982633549267f898%26pid%3D101949%26rk%3D1%26rkt%3D1%26itm%3D193000533916%26pmt%3D1%26noa%3D1%26pg%3D4375194%26algv%3DRecentlyViewedItemsV2WithMLRV6RankerPricelessTop30Features&amp;_trksid=p4375194.c101949.m162918&amp;_trkparms=parentrq%3Aeb58a89e1900a54a26819865ffff8f70%7Cpageci%3A4ad298ec-4abb-11ef-8133-fe808b91d733%7Ciid%3A1%7Cvlpname%3Avlp_homepage" TargetMode="External"/><Relationship Id="rId3" Type="http://schemas.openxmlformats.org/officeDocument/2006/relationships/hyperlink" Target="https://www.amazon.com/dp/B07C24TD86" TargetMode="External"/><Relationship Id="rId7" Type="http://schemas.openxmlformats.org/officeDocument/2006/relationships/hyperlink" Target="https://www.amazon.com/Raspberry-Pi-Computer-Suitable-Workstation/dp/B0899VXM8F" TargetMode="External"/><Relationship Id="rId2" Type="http://schemas.openxmlformats.org/officeDocument/2006/relationships/hyperlink" Target="https://www.amazon.com/dp/B07C4J6K83" TargetMode="External"/><Relationship Id="rId1" Type="http://schemas.openxmlformats.org/officeDocument/2006/relationships/hyperlink" Target="https://www.amazon.com/dp/B07FH85GDL" TargetMode="External"/><Relationship Id="rId6" Type="http://schemas.openxmlformats.org/officeDocument/2006/relationships/hyperlink" Target="https://www.amazon.com/dp/B00LPK0E5A" TargetMode="External"/><Relationship Id="rId5" Type="http://schemas.openxmlformats.org/officeDocument/2006/relationships/hyperlink" Target="https://lectronz.com/products/sangaboard-v5" TargetMode="External"/><Relationship Id="rId10" Type="http://schemas.openxmlformats.org/officeDocument/2006/relationships/hyperlink" Target="https://www.mouser.com/ProductDetail/Analog-Devices/LT6233CS6TRMPBF?qs=hVkxg5c3xu%2FNXBOvYLz9Ig%3D%3D" TargetMode="External"/><Relationship Id="rId4" Type="http://schemas.openxmlformats.org/officeDocument/2006/relationships/hyperlink" Target="https://lectronz.com/products/openflexure-microscope-bag-of-bits" TargetMode="External"/><Relationship Id="rId9" Type="http://schemas.openxmlformats.org/officeDocument/2006/relationships/hyperlink" Target="https://openflexure.org/projects/deltastag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7WC1PN69" TargetMode="External"/><Relationship Id="rId7" Type="http://schemas.openxmlformats.org/officeDocument/2006/relationships/hyperlink" Target="https://www.amazon.com/dp/B005C75IVM" TargetMode="External"/><Relationship Id="rId2" Type="http://schemas.openxmlformats.org/officeDocument/2006/relationships/hyperlink" Target="https://www.amazon.com/dp/B01G4CCB8G" TargetMode="External"/><Relationship Id="rId1" Type="http://schemas.openxmlformats.org/officeDocument/2006/relationships/hyperlink" Target="https://www.amazon.com/dp/B08FBCKKRM" TargetMode="External"/><Relationship Id="rId6" Type="http://schemas.openxmlformats.org/officeDocument/2006/relationships/hyperlink" Target="https://www.amazon.com/dp/B07WC1PN69" TargetMode="External"/><Relationship Id="rId5" Type="http://schemas.openxmlformats.org/officeDocument/2006/relationships/hyperlink" Target="https://www.amazon.com/dp/B07J3R15JB" TargetMode="External"/><Relationship Id="rId4" Type="http://schemas.openxmlformats.org/officeDocument/2006/relationships/hyperlink" Target="https://www.amazon.com/dp/B005C75I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B5D2-A98B-5644-A433-7C01969FB388}">
  <dimension ref="A1:G29"/>
  <sheetViews>
    <sheetView tabSelected="1" zoomScaleNormal="100" workbookViewId="0">
      <selection activeCell="F16" sqref="F16"/>
    </sheetView>
  </sheetViews>
  <sheetFormatPr defaultColWidth="27.625" defaultRowHeight="30.95" customHeight="1"/>
  <cols>
    <col min="1" max="1" width="132.875" style="1" customWidth="1"/>
    <col min="2" max="2" width="20" style="1" bestFit="1" customWidth="1"/>
    <col min="3" max="3" width="37.625" style="1" customWidth="1"/>
    <col min="4" max="4" width="17.5" style="3" customWidth="1"/>
    <col min="5" max="6" width="17.5" style="4" customWidth="1"/>
    <col min="7" max="16384" width="27.625" style="1"/>
  </cols>
  <sheetData>
    <row r="1" spans="1:7" s="5" customFormat="1" ht="30.95" customHeight="1">
      <c r="A1" s="5" t="s">
        <v>0</v>
      </c>
      <c r="B1" s="5" t="s">
        <v>1</v>
      </c>
      <c r="C1" s="14" t="s">
        <v>2</v>
      </c>
      <c r="D1" s="6" t="s">
        <v>3</v>
      </c>
      <c r="E1" s="7" t="s">
        <v>4</v>
      </c>
      <c r="F1" s="13" t="s">
        <v>5</v>
      </c>
      <c r="G1" s="14" t="s">
        <v>6</v>
      </c>
    </row>
    <row r="2" spans="1:7" ht="30.95" customHeight="1">
      <c r="A2" s="1" t="s">
        <v>7</v>
      </c>
      <c r="B2" s="1" t="s">
        <v>8</v>
      </c>
      <c r="C2" s="2" t="s">
        <v>9</v>
      </c>
      <c r="D2" s="3" t="s">
        <v>10</v>
      </c>
      <c r="E2" s="4">
        <v>13</v>
      </c>
      <c r="F2" s="4">
        <v>2.6</v>
      </c>
    </row>
    <row r="3" spans="1:7" ht="30.95" customHeight="1">
      <c r="A3" s="1" t="s">
        <v>11</v>
      </c>
      <c r="B3" s="1" t="s">
        <v>12</v>
      </c>
      <c r="C3" s="2" t="s">
        <v>13</v>
      </c>
      <c r="D3" s="3">
        <v>1</v>
      </c>
      <c r="E3" s="4">
        <v>18.989999999999998</v>
      </c>
      <c r="F3" s="4">
        <v>18.989999999999998</v>
      </c>
    </row>
    <row r="4" spans="1:7" ht="30.95" customHeight="1">
      <c r="A4" s="1" t="s">
        <v>14</v>
      </c>
      <c r="B4" s="18" t="s">
        <v>15</v>
      </c>
      <c r="C4" s="2" t="s">
        <v>16</v>
      </c>
      <c r="D4" s="3">
        <v>1</v>
      </c>
      <c r="E4" s="4">
        <v>19.29</v>
      </c>
      <c r="F4" s="4">
        <v>19.29</v>
      </c>
    </row>
    <row r="5" spans="1:7" ht="30.95" customHeight="1">
      <c r="A5" s="1" t="s">
        <v>17</v>
      </c>
      <c r="B5" s="1" t="s">
        <v>18</v>
      </c>
      <c r="C5" s="2" t="s">
        <v>19</v>
      </c>
      <c r="D5" s="3">
        <v>1</v>
      </c>
      <c r="E5" s="4">
        <v>19.489999999999998</v>
      </c>
      <c r="F5" s="4">
        <f t="shared" ref="F5:F10" si="0">SUM(E5*D5)</f>
        <v>19.489999999999998</v>
      </c>
    </row>
    <row r="6" spans="1:7" s="8" customFormat="1" ht="30.95" customHeight="1">
      <c r="A6" s="1" t="s">
        <v>20</v>
      </c>
      <c r="B6" s="1" t="s">
        <v>21</v>
      </c>
      <c r="C6" s="2" t="s">
        <v>22</v>
      </c>
      <c r="D6" s="3">
        <v>1</v>
      </c>
      <c r="E6" s="4">
        <v>14.59</v>
      </c>
      <c r="F6" s="4">
        <f t="shared" si="0"/>
        <v>14.59</v>
      </c>
    </row>
    <row r="7" spans="1:7" ht="30.95" customHeight="1">
      <c r="A7" s="1" t="s">
        <v>23</v>
      </c>
      <c r="B7" s="1" t="s">
        <v>24</v>
      </c>
      <c r="C7" s="2" t="s">
        <v>25</v>
      </c>
      <c r="D7" s="3">
        <v>1</v>
      </c>
      <c r="E7" s="4">
        <v>5.49</v>
      </c>
      <c r="F7" s="4">
        <f t="shared" si="0"/>
        <v>5.49</v>
      </c>
    </row>
    <row r="8" spans="1:7" ht="30.95" customHeight="1">
      <c r="A8" s="1" t="s">
        <v>26</v>
      </c>
      <c r="B8" s="1" t="s">
        <v>27</v>
      </c>
      <c r="C8" s="2" t="s">
        <v>28</v>
      </c>
      <c r="D8" s="3">
        <v>1</v>
      </c>
      <c r="E8" s="4">
        <v>92.32</v>
      </c>
      <c r="F8" s="4">
        <f t="shared" si="0"/>
        <v>92.32</v>
      </c>
    </row>
    <row r="9" spans="1:7" ht="30.95" customHeight="1">
      <c r="A9" s="1" t="s">
        <v>29</v>
      </c>
      <c r="B9" s="1" t="s">
        <v>30</v>
      </c>
      <c r="C9" s="2" t="s">
        <v>31</v>
      </c>
      <c r="D9" s="3">
        <v>1</v>
      </c>
      <c r="E9" s="4">
        <v>67.95</v>
      </c>
      <c r="F9" s="4">
        <f t="shared" si="0"/>
        <v>67.95</v>
      </c>
    </row>
    <row r="10" spans="1:7" ht="30.95" customHeight="1">
      <c r="A10" s="1" t="s">
        <v>32</v>
      </c>
      <c r="B10" s="1" t="s">
        <v>33</v>
      </c>
      <c r="C10" s="2" t="s">
        <v>34</v>
      </c>
      <c r="D10" s="3">
        <v>1</v>
      </c>
      <c r="E10" s="4">
        <v>7.69</v>
      </c>
      <c r="F10" s="4">
        <f t="shared" si="0"/>
        <v>7.69</v>
      </c>
    </row>
    <row r="11" spans="1:7" ht="30.95" customHeight="1">
      <c r="A11" s="1" t="s">
        <v>35</v>
      </c>
      <c r="B11" s="1" t="s">
        <v>36</v>
      </c>
      <c r="C11" s="2" t="s">
        <v>37</v>
      </c>
      <c r="D11" s="3">
        <v>1</v>
      </c>
      <c r="E11" s="4">
        <v>99</v>
      </c>
      <c r="F11" s="4">
        <v>99</v>
      </c>
    </row>
    <row r="12" spans="1:7" ht="30.95" customHeight="1">
      <c r="A12" s="1" t="s">
        <v>38</v>
      </c>
      <c r="B12" s="1" t="s">
        <v>39</v>
      </c>
      <c r="C12" s="1" t="s">
        <v>40</v>
      </c>
      <c r="D12" s="3">
        <v>4</v>
      </c>
      <c r="E12" s="4">
        <v>2.57</v>
      </c>
      <c r="F12" s="4">
        <v>10.28</v>
      </c>
    </row>
    <row r="13" spans="1:7" ht="30.95" customHeight="1">
      <c r="A13" s="1" t="s">
        <v>41</v>
      </c>
      <c r="B13" s="1" t="s">
        <v>42</v>
      </c>
      <c r="C13" s="2" t="s">
        <v>43</v>
      </c>
      <c r="D13" s="3">
        <v>1</v>
      </c>
      <c r="E13" s="4">
        <v>34.85</v>
      </c>
      <c r="F13" s="4">
        <f>SUM(E13*D13)</f>
        <v>34.85</v>
      </c>
    </row>
    <row r="14" spans="1:7" ht="30.95" customHeight="1">
      <c r="A14" s="1" t="s">
        <v>44</v>
      </c>
      <c r="B14" s="1" t="s">
        <v>45</v>
      </c>
      <c r="C14" s="2" t="s">
        <v>46</v>
      </c>
      <c r="D14" s="3">
        <v>1</v>
      </c>
      <c r="E14" s="4">
        <v>40.29</v>
      </c>
      <c r="F14" s="4">
        <f>SUM(E15*D14)</f>
        <v>7.5</v>
      </c>
    </row>
    <row r="15" spans="1:7" ht="30.95" customHeight="1">
      <c r="A15" s="1" t="s">
        <v>47</v>
      </c>
      <c r="B15" s="1" t="s">
        <v>48</v>
      </c>
      <c r="C15" s="2" t="s">
        <v>49</v>
      </c>
      <c r="D15" s="3">
        <v>1</v>
      </c>
      <c r="E15" s="4">
        <v>7.5</v>
      </c>
      <c r="F15" s="4">
        <v>7.5</v>
      </c>
    </row>
    <row r="16" spans="1:7" ht="30.95" customHeight="1">
      <c r="A16" s="1" t="s">
        <v>50</v>
      </c>
      <c r="B16" s="1" t="s">
        <v>51</v>
      </c>
      <c r="C16" s="15" t="s">
        <v>52</v>
      </c>
      <c r="D16" s="3">
        <v>1</v>
      </c>
      <c r="E16" s="4">
        <v>10</v>
      </c>
      <c r="F16" s="4">
        <v>10</v>
      </c>
    </row>
    <row r="17" spans="5:6" ht="30.95" customHeight="1">
      <c r="E17" s="12" t="s">
        <v>53</v>
      </c>
      <c r="F17" s="4">
        <f>SUM(F2:F16)</f>
        <v>417.53999999999996</v>
      </c>
    </row>
    <row r="18" spans="5:6" ht="30.95" customHeight="1">
      <c r="E18" s="4">
        <f>SUM(F2,F3,F5,F6,F7,F8,F9,F13,F14,F15,F16)</f>
        <v>281.28000000000003</v>
      </c>
    </row>
    <row r="28" spans="5:6" ht="15.6"/>
    <row r="29" spans="5:6" ht="15.6"/>
  </sheetData>
  <hyperlinks>
    <hyperlink ref="C3" r:id="rId1" xr:uid="{A1594BD3-F8D2-451C-BD57-FE41CA7EB704}"/>
    <hyperlink ref="C4" r:id="rId2" xr:uid="{553A034E-748E-4DAD-B6F0-4CD8E1D55AC6}"/>
    <hyperlink ref="C5" r:id="rId3" xr:uid="{B1E0E094-9CFB-49A6-BC9D-0F787D499522}"/>
    <hyperlink ref="C7" r:id="rId4" xr:uid="{137EA84A-CF33-48BE-9871-FB8E50C73CE7}"/>
    <hyperlink ref="C8" r:id="rId5" xr:uid="{44F438BC-B28C-4174-A35F-974A64D49F95}"/>
    <hyperlink ref="C10" r:id="rId6" xr:uid="{C52D4D92-4358-4C63-8EF4-FDDB2DEB7EDD}"/>
    <hyperlink ref="C11" r:id="rId7" xr:uid="{BAD4A43A-3DB8-4736-A63F-0E5DEA78BC90}"/>
    <hyperlink ref="C13" r:id="rId8" xr:uid="{5814C6EB-0DCC-46B3-8FCF-C0D6D986A033}"/>
    <hyperlink ref="C14" r:id="rId9" xr:uid="{D9572722-7D5F-4DCE-8A3A-8D42805C75B8}"/>
    <hyperlink ref="C15" r:id="rId10" xr:uid="{3AB63387-0753-446D-B43F-580D07384C7A}"/>
    <hyperlink ref="C2" r:id="rId11" xr:uid="{0C13A1B6-853C-4B54-A20B-D67C66A9494F}"/>
    <hyperlink ref="C6" r:id="rId12" xr:uid="{F9ECD33C-1750-4D62-AAA8-865A87014500}"/>
    <hyperlink ref="C9" r:id="rId13" xr:uid="{65C22A81-FF2D-4C47-8C59-EAF67D9480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F38D-2F91-7444-93A6-CC39F615A0AA}">
  <dimension ref="A1:F13"/>
  <sheetViews>
    <sheetView workbookViewId="0">
      <selection activeCell="A8" sqref="A8"/>
    </sheetView>
  </sheetViews>
  <sheetFormatPr defaultColWidth="27.625" defaultRowHeight="30.95" customHeight="1"/>
  <cols>
    <col min="1" max="1" width="132.875" style="1" customWidth="1"/>
    <col min="2" max="2" width="20" style="1" bestFit="1" customWidth="1"/>
    <col min="3" max="3" width="37.625" style="1" customWidth="1"/>
    <col min="4" max="4" width="17.5" style="3" customWidth="1"/>
    <col min="5" max="6" width="17.5" style="4" customWidth="1"/>
    <col min="7" max="16384" width="27.625" style="1"/>
  </cols>
  <sheetData>
    <row r="1" spans="1:6" s="5" customFormat="1" ht="30.95" customHeight="1">
      <c r="A1" s="5" t="s">
        <v>0</v>
      </c>
      <c r="B1" s="5" t="s">
        <v>1</v>
      </c>
      <c r="C1" s="14" t="s">
        <v>2</v>
      </c>
      <c r="D1" s="6" t="s">
        <v>3</v>
      </c>
      <c r="E1" s="7" t="s">
        <v>4</v>
      </c>
      <c r="F1" s="13" t="s">
        <v>5</v>
      </c>
    </row>
    <row r="2" spans="1:6" ht="30.95" customHeight="1">
      <c r="A2" s="1" t="s">
        <v>7</v>
      </c>
      <c r="B2" s="1" t="s">
        <v>8</v>
      </c>
      <c r="C2" s="2" t="s">
        <v>9</v>
      </c>
      <c r="D2" s="3" t="s">
        <v>10</v>
      </c>
      <c r="E2" s="4">
        <v>13</v>
      </c>
      <c r="F2" s="4">
        <v>2.6</v>
      </c>
    </row>
    <row r="3" spans="1:6" s="8" customFormat="1" ht="30.95" customHeight="1">
      <c r="A3" s="1" t="s">
        <v>20</v>
      </c>
      <c r="B3" s="1" t="s">
        <v>21</v>
      </c>
      <c r="C3" s="2" t="s">
        <v>22</v>
      </c>
      <c r="D3" s="3">
        <v>1</v>
      </c>
      <c r="E3" s="4">
        <v>14.59</v>
      </c>
      <c r="F3" s="4">
        <f>SUM(E3*D3)</f>
        <v>14.59</v>
      </c>
    </row>
    <row r="4" spans="1:6" ht="30.95" customHeight="1">
      <c r="A4" s="1" t="s">
        <v>23</v>
      </c>
      <c r="B4" s="1" t="s">
        <v>24</v>
      </c>
      <c r="C4" s="2" t="s">
        <v>25</v>
      </c>
      <c r="D4" s="3">
        <v>1</v>
      </c>
      <c r="E4" s="4">
        <v>5.49</v>
      </c>
      <c r="F4" s="4">
        <f>SUM(E4*D4)</f>
        <v>5.49</v>
      </c>
    </row>
    <row r="5" spans="1:6" ht="30.95" customHeight="1">
      <c r="A5" s="1" t="s">
        <v>26</v>
      </c>
      <c r="B5" s="1" t="s">
        <v>27</v>
      </c>
      <c r="C5" s="2" t="s">
        <v>28</v>
      </c>
      <c r="D5" s="3">
        <v>1</v>
      </c>
      <c r="E5" s="4">
        <v>92.32</v>
      </c>
      <c r="F5" s="4">
        <f>SUM(E5*D5)</f>
        <v>92.32</v>
      </c>
    </row>
    <row r="6" spans="1:6" ht="30.95" customHeight="1">
      <c r="A6" s="1" t="s">
        <v>29</v>
      </c>
      <c r="B6" s="1" t="s">
        <v>30</v>
      </c>
      <c r="C6" s="2" t="s">
        <v>31</v>
      </c>
      <c r="D6" s="3">
        <v>1</v>
      </c>
      <c r="E6" s="4">
        <v>67.95</v>
      </c>
      <c r="F6" s="4">
        <f>SUM(E6*D6)</f>
        <v>67.95</v>
      </c>
    </row>
    <row r="7" spans="1:6" ht="30.95" customHeight="1">
      <c r="A7" s="1" t="s">
        <v>35</v>
      </c>
      <c r="B7" s="1" t="s">
        <v>36</v>
      </c>
      <c r="C7" s="2" t="s">
        <v>37</v>
      </c>
      <c r="D7" s="3">
        <v>1</v>
      </c>
      <c r="E7" s="4">
        <v>99</v>
      </c>
      <c r="F7" s="4">
        <v>99</v>
      </c>
    </row>
    <row r="8" spans="1:6" ht="30.95" customHeight="1">
      <c r="A8" s="1" t="s">
        <v>41</v>
      </c>
      <c r="B8" s="1" t="s">
        <v>42</v>
      </c>
      <c r="C8" s="2" t="s">
        <v>43</v>
      </c>
      <c r="D8" s="3">
        <v>1</v>
      </c>
      <c r="E8" s="4">
        <v>34.85</v>
      </c>
      <c r="F8" s="4">
        <f>SUM(E8*D8)</f>
        <v>34.85</v>
      </c>
    </row>
    <row r="9" spans="1:6" ht="30.95" customHeight="1">
      <c r="A9" s="1" t="s">
        <v>44</v>
      </c>
      <c r="B9" s="1" t="s">
        <v>45</v>
      </c>
      <c r="C9" s="2" t="s">
        <v>46</v>
      </c>
      <c r="D9" s="3">
        <v>1</v>
      </c>
      <c r="E9" s="4">
        <v>40.29</v>
      </c>
      <c r="F9" s="4">
        <f>SUM(E9*D9)</f>
        <v>40.29</v>
      </c>
    </row>
    <row r="10" spans="1:6" ht="30.95" customHeight="1">
      <c r="A10" s="16" t="s">
        <v>54</v>
      </c>
      <c r="B10" s="16" t="s">
        <v>55</v>
      </c>
      <c r="C10" s="2" t="s">
        <v>56</v>
      </c>
      <c r="D10" s="3">
        <v>1</v>
      </c>
      <c r="E10" s="4">
        <v>5.04</v>
      </c>
      <c r="F10" s="4">
        <v>5.04</v>
      </c>
    </row>
    <row r="11" spans="1:6" ht="30.95" customHeight="1">
      <c r="A11" s="1" t="s">
        <v>57</v>
      </c>
      <c r="B11" s="1" t="s">
        <v>12</v>
      </c>
      <c r="C11" s="2" t="s">
        <v>58</v>
      </c>
      <c r="D11" s="3">
        <v>1</v>
      </c>
      <c r="E11" s="17">
        <v>6.5</v>
      </c>
      <c r="F11" s="4">
        <v>6.5</v>
      </c>
    </row>
    <row r="12" spans="1:6" ht="30.95" customHeight="1">
      <c r="A12" s="1" t="s">
        <v>50</v>
      </c>
      <c r="B12" s="1" t="s">
        <v>51</v>
      </c>
      <c r="C12" s="15" t="s">
        <v>52</v>
      </c>
      <c r="D12" s="3">
        <v>1</v>
      </c>
      <c r="E12" s="4">
        <v>10</v>
      </c>
      <c r="F12" s="4">
        <v>10</v>
      </c>
    </row>
    <row r="13" spans="1:6" ht="30.95" customHeight="1">
      <c r="E13" s="12" t="s">
        <v>53</v>
      </c>
      <c r="F13" s="4">
        <f>SUM(F2:F11)</f>
        <v>368.63000000000005</v>
      </c>
    </row>
  </sheetData>
  <hyperlinks>
    <hyperlink ref="C4" r:id="rId1" xr:uid="{124E9D9C-00E8-4DCA-888E-C37F0A102D9B}"/>
    <hyperlink ref="C5" r:id="rId2" xr:uid="{B8732BE6-59B0-4BEA-A6FB-3FCA424BABFD}"/>
    <hyperlink ref="C7" r:id="rId3" xr:uid="{B7F92C25-B66D-49D4-B3B1-A721C419478B}"/>
    <hyperlink ref="C8" r:id="rId4" xr:uid="{E5A1A010-7565-4152-A905-969EE5D2D20D}"/>
    <hyperlink ref="C9" r:id="rId5" xr:uid="{6CEAB735-DBA6-4B75-950C-3980332615BC}"/>
    <hyperlink ref="C3" r:id="rId6" xr:uid="{FE008A70-916B-4A15-8797-C88B370B87C1}"/>
    <hyperlink ref="C6" r:id="rId7" xr:uid="{18E252AD-03C5-42E7-B5DF-618EE79A6A2A}"/>
    <hyperlink ref="C11" r:id="rId8" display="https://www.ebay.com/itm/193000533916?_trkparms=amclksrc%3DITM%26aid%3D777008%26algo%3DPERSONAL.TOPIC%26ao%3D1%26asc%3D20240131095853%26meid%3De42124396a194bac982633549267f898%26pid%3D101949%26rk%3D1%26rkt%3D1%26itm%3D193000533916%26pmt%3D1%26noa%3D1%26pg%3D4375194%26algv%3DRecentlyViewedItemsV2WithMLRV6RankerPricelessTop30Features&amp;_trksid=p4375194.c101949.m162918&amp;_trkparms=parentrq%3Aeb58a89e1900a54a26819865ffff8f70%7Cpageci%3A4ad298ec-4abb-11ef-8133-fe808b91d733%7Ciid%3A1%7Cvlpname%3Avlp_homepage" xr:uid="{7C911A33-2F49-4765-88B2-CA6DDCFE9732}"/>
    <hyperlink ref="C2" r:id="rId9" xr:uid="{3A72707E-EE6F-4FA4-A0EF-A984C45CBFF9}"/>
    <hyperlink ref="C10" r:id="rId10" xr:uid="{6951983B-4198-496F-947D-CE3E6746B95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B3D3-3DE2-4D83-A3F4-9EFB285245D4}">
  <dimension ref="A1:F12"/>
  <sheetViews>
    <sheetView workbookViewId="0">
      <selection activeCell="G23" sqref="G23"/>
    </sheetView>
  </sheetViews>
  <sheetFormatPr defaultRowHeight="15.6"/>
  <sheetData>
    <row r="1" spans="1:6" s="1" customFormat="1" ht="30.95" customHeight="1">
      <c r="A1" s="1" t="s">
        <v>59</v>
      </c>
      <c r="D1" s="3">
        <v>1</v>
      </c>
      <c r="E1" s="4">
        <v>15</v>
      </c>
      <c r="F1" s="4">
        <v>15</v>
      </c>
    </row>
    <row r="2" spans="1:6" s="1" customFormat="1" ht="30.95" customHeight="1"/>
    <row r="3" spans="1:6" s="1" customFormat="1" ht="30.95" customHeight="1">
      <c r="A3" s="1" t="s">
        <v>60</v>
      </c>
      <c r="C3" s="2" t="s">
        <v>61</v>
      </c>
      <c r="D3" s="3">
        <v>1</v>
      </c>
      <c r="E3" s="4">
        <v>101.79</v>
      </c>
      <c r="F3" s="4">
        <f>SUM(E3*D3)</f>
        <v>101.79</v>
      </c>
    </row>
    <row r="4" spans="1:6" s="1" customFormat="1" ht="30.95" customHeight="1">
      <c r="A4" s="1" t="s">
        <v>62</v>
      </c>
      <c r="B4" s="1" t="s">
        <v>63</v>
      </c>
      <c r="C4" s="2" t="s">
        <v>64</v>
      </c>
      <c r="D4" s="3">
        <v>1</v>
      </c>
      <c r="E4" s="4">
        <v>201.99</v>
      </c>
      <c r="F4" s="4">
        <f>SUM(E4*D4)</f>
        <v>201.99</v>
      </c>
    </row>
    <row r="5" spans="1:6" s="1" customFormat="1" ht="30.95" customHeight="1"/>
    <row r="6" spans="1:6" s="1" customFormat="1" ht="30.95" customHeight="1">
      <c r="D6" s="3"/>
      <c r="E6" s="4"/>
      <c r="F6" s="4"/>
    </row>
    <row r="7" spans="1:6" s="1" customFormat="1" ht="30.95" customHeight="1">
      <c r="A7" s="8" t="s">
        <v>65</v>
      </c>
      <c r="B7" s="8"/>
      <c r="C7" s="9" t="s">
        <v>66</v>
      </c>
      <c r="D7" s="10">
        <v>1</v>
      </c>
      <c r="E7" s="11" t="s">
        <v>67</v>
      </c>
      <c r="F7" s="11" t="e">
        <f>SUM(E7*D7)</f>
        <v>#VALUE!</v>
      </c>
    </row>
    <row r="8" spans="1:6" s="1" customFormat="1" ht="30.95" customHeight="1">
      <c r="A8" s="8" t="s">
        <v>68</v>
      </c>
      <c r="B8" s="8"/>
      <c r="C8" s="9" t="s">
        <v>69</v>
      </c>
      <c r="D8" s="10">
        <v>1</v>
      </c>
      <c r="E8" s="11" t="s">
        <v>67</v>
      </c>
      <c r="F8" s="11" t="e">
        <f>SUM(E8*D8)</f>
        <v>#VALUE!</v>
      </c>
    </row>
    <row r="9" spans="1:6" s="8" customFormat="1" ht="30.95" customHeight="1">
      <c r="A9" s="8" t="s">
        <v>70</v>
      </c>
      <c r="C9" s="9" t="s">
        <v>71</v>
      </c>
      <c r="D9" s="10">
        <v>1</v>
      </c>
      <c r="E9" s="11" t="s">
        <v>67</v>
      </c>
      <c r="F9" s="11" t="e">
        <f>SUM(E9*D9)</f>
        <v>#VALUE!</v>
      </c>
    </row>
    <row r="11" spans="1:6" s="1" customFormat="1" ht="30.95" customHeight="1">
      <c r="A11" s="1" t="s">
        <v>60</v>
      </c>
      <c r="C11" s="2" t="s">
        <v>61</v>
      </c>
      <c r="D11" s="3">
        <v>1</v>
      </c>
      <c r="E11" s="4">
        <v>101.79</v>
      </c>
      <c r="F11" s="4">
        <f>SUM(E11*D11)</f>
        <v>101.79</v>
      </c>
    </row>
    <row r="12" spans="1:6" s="1" customFormat="1" ht="30.95" customHeight="1">
      <c r="A12" s="1" t="s">
        <v>62</v>
      </c>
      <c r="B12" s="1" t="s">
        <v>63</v>
      </c>
      <c r="C12" s="2" t="s">
        <v>64</v>
      </c>
      <c r="D12" s="3">
        <v>1</v>
      </c>
      <c r="E12" s="4">
        <v>201.99</v>
      </c>
      <c r="F12" s="4">
        <f>SUM(E12*D12)</f>
        <v>201.99</v>
      </c>
    </row>
  </sheetData>
  <hyperlinks>
    <hyperlink ref="C8" r:id="rId1" xr:uid="{33325DBB-626F-436F-98F5-70A825CC0DF3}"/>
    <hyperlink ref="C7" r:id="rId2" xr:uid="{E9F8F660-1635-4432-ADCA-A47710DFFCF8}"/>
    <hyperlink ref="C3" r:id="rId3" xr:uid="{4CFD9C3A-6552-4B78-9494-38AD782B1EE3}"/>
    <hyperlink ref="C4" r:id="rId4" xr:uid="{AD6D1AB0-5AAF-437C-BDA8-7DC09EE47DF1}"/>
    <hyperlink ref="C9" r:id="rId5" xr:uid="{1A1FFDF3-16D3-4204-A3FE-F6064D21B7B9}"/>
    <hyperlink ref="C11" r:id="rId6" xr:uid="{0DB554C4-FCFF-4AB3-9744-8400997BB8E3}"/>
    <hyperlink ref="C12" r:id="rId7" xr:uid="{E7508CD7-95F9-4CED-B482-53118376EE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Beaumont</dc:creator>
  <cp:keywords/>
  <dc:description/>
  <cp:lastModifiedBy/>
  <cp:revision/>
  <dcterms:created xsi:type="dcterms:W3CDTF">2024-07-13T01:33:48Z</dcterms:created>
  <dcterms:modified xsi:type="dcterms:W3CDTF">2025-02-07T23:07:22Z</dcterms:modified>
  <cp:category/>
  <cp:contentStatus/>
</cp:coreProperties>
</file>